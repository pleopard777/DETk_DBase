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COUNT">Sheet1!$H$1</definedName>
    <definedName name="_DELT">Sheet1!$F$1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D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2" i="1"/>
  <c r="H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</calcChain>
</file>

<file path=xl/sharedStrings.xml><?xml version="1.0" encoding="utf-8"?>
<sst xmlns="http://schemas.openxmlformats.org/spreadsheetml/2006/main" count="6" uniqueCount="6">
  <si>
    <t>T</t>
  </si>
  <si>
    <t>Sin(T)</t>
  </si>
  <si>
    <t>K</t>
  </si>
  <si>
    <t>Cos(T)</t>
  </si>
  <si>
    <t>DELT:</t>
  </si>
  <si>
    <t>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</si>
</sst>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Sin(T)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0.60000000000000009</c:v>
                </c:pt>
                <c:pt idx="6">
                  <c:v>0.70000000000000007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1.2000000000000002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</c:v>
                </c:pt>
                <c:pt idx="15">
                  <c:v>1.6</c:v>
                </c:pt>
                <c:pt idx="16">
                  <c:v>1.7000000000000002</c:v>
                </c:pt>
                <c:pt idx="17">
                  <c:v>1.8</c:v>
                </c:pt>
                <c:pt idx="18">
                  <c:v>1.9000000000000001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2.3000000000000003</c:v>
                </c:pt>
                <c:pt idx="23">
                  <c:v>2.4000000000000004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2.8000000000000003</c:v>
                </c:pt>
              </c:numCache>
            </c:numRef>
          </c:xVal>
          <c:yVal>
            <c:numRef>
              <c:f>Sheet1!$C$2:$C$29</c:f>
              <c:numCache>
                <c:formatCode>General</c:formatCode>
                <c:ptCount val="28"/>
                <c:pt idx="0">
                  <c:v>9.9833416646828155E-2</c:v>
                </c:pt>
                <c:pt idx="1">
                  <c:v>0.19866933079506122</c:v>
                </c:pt>
                <c:pt idx="2">
                  <c:v>0.2955202066613396</c:v>
                </c:pt>
                <c:pt idx="3">
                  <c:v>0.38941834230865052</c:v>
                </c:pt>
                <c:pt idx="4">
                  <c:v>0.47942553860420301</c:v>
                </c:pt>
                <c:pt idx="5">
                  <c:v>0.56464247339503548</c:v>
                </c:pt>
                <c:pt idx="6">
                  <c:v>0.64421768723769113</c:v>
                </c:pt>
                <c:pt idx="7">
                  <c:v>0.71735609089952279</c:v>
                </c:pt>
                <c:pt idx="8">
                  <c:v>0.78332690962748341</c:v>
                </c:pt>
                <c:pt idx="9">
                  <c:v>0.8414709848078965</c:v>
                </c:pt>
                <c:pt idx="10">
                  <c:v>0.89120736006143542</c:v>
                </c:pt>
                <c:pt idx="11">
                  <c:v>0.9320390859672264</c:v>
                </c:pt>
                <c:pt idx="12">
                  <c:v>0.96355818541719296</c:v>
                </c:pt>
                <c:pt idx="13">
                  <c:v>0.98544972998846025</c:v>
                </c:pt>
                <c:pt idx="14">
                  <c:v>0.99749498660405445</c:v>
                </c:pt>
                <c:pt idx="15">
                  <c:v>0.99957360304150511</c:v>
                </c:pt>
                <c:pt idx="16">
                  <c:v>0.99166481045246857</c:v>
                </c:pt>
                <c:pt idx="17">
                  <c:v>0.97384763087819515</c:v>
                </c:pt>
                <c:pt idx="18">
                  <c:v>0.94630008768741447</c:v>
                </c:pt>
                <c:pt idx="19">
                  <c:v>0.90929742682568171</c:v>
                </c:pt>
                <c:pt idx="20">
                  <c:v>0.86320936664887371</c:v>
                </c:pt>
                <c:pt idx="21">
                  <c:v>0.80849640381959009</c:v>
                </c:pt>
                <c:pt idx="22">
                  <c:v>0.74570521217672003</c:v>
                </c:pt>
                <c:pt idx="23">
                  <c:v>0.67546318055115062</c:v>
                </c:pt>
                <c:pt idx="24">
                  <c:v>0.59847214410395655</c:v>
                </c:pt>
                <c:pt idx="25">
                  <c:v>0.51550137182146416</c:v>
                </c:pt>
                <c:pt idx="26">
                  <c:v>0.42737988023382978</c:v>
                </c:pt>
                <c:pt idx="27">
                  <c:v>0.33498815015590466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AC-4730-863D-2469866E4ED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Cos(T)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0.60000000000000009</c:v>
                </c:pt>
                <c:pt idx="6">
                  <c:v>0.70000000000000007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1.2000000000000002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</c:v>
                </c:pt>
                <c:pt idx="15">
                  <c:v>1.6</c:v>
                </c:pt>
                <c:pt idx="16">
                  <c:v>1.7000000000000002</c:v>
                </c:pt>
                <c:pt idx="17">
                  <c:v>1.8</c:v>
                </c:pt>
                <c:pt idx="18">
                  <c:v>1.9000000000000001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2.3000000000000003</c:v>
                </c:pt>
                <c:pt idx="23">
                  <c:v>2.4000000000000004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2.8000000000000003</c:v>
                </c:pt>
              </c:numCache>
            </c:numRef>
          </c:xVal>
          <c:yVal>
            <c:numRef>
              <c:f>Sheet1!$D$2:$D$29</c:f>
              <c:numCache>
                <c:formatCode>General</c:formatCode>
                <c:ptCount val="28"/>
                <c:pt idx="0">
                  <c:v>0.99500416527802582</c:v>
                </c:pt>
                <c:pt idx="1">
                  <c:v>0.98006657784124163</c:v>
                </c:pt>
                <c:pt idx="2">
                  <c:v>0.95533648912560598</c:v>
                </c:pt>
                <c:pt idx="3">
                  <c:v>0.9210609940028851</c:v>
                </c:pt>
                <c:pt idx="4">
                  <c:v>0.87758256189037276</c:v>
                </c:pt>
                <c:pt idx="5">
                  <c:v>0.82533561490967822</c:v>
                </c:pt>
                <c:pt idx="6">
                  <c:v>0.76484218728448838</c:v>
                </c:pt>
                <c:pt idx="7">
                  <c:v>0.69670670934716539</c:v>
                </c:pt>
                <c:pt idx="8">
                  <c:v>0.62160996827066439</c:v>
                </c:pt>
                <c:pt idx="9">
                  <c:v>0.54030230586813977</c:v>
                </c:pt>
                <c:pt idx="10">
                  <c:v>0.45359612142557731</c:v>
                </c:pt>
                <c:pt idx="11">
                  <c:v>0.3623577544766734</c:v>
                </c:pt>
                <c:pt idx="12">
                  <c:v>0.26749882862458735</c:v>
                </c:pt>
                <c:pt idx="13">
                  <c:v>0.16996714290024081</c:v>
                </c:pt>
                <c:pt idx="14">
                  <c:v>7.0737201667702906E-2</c:v>
                </c:pt>
                <c:pt idx="15">
                  <c:v>-2.9199522301288815E-2</c:v>
                </c:pt>
                <c:pt idx="16">
                  <c:v>-0.12884449429552486</c:v>
                </c:pt>
                <c:pt idx="17">
                  <c:v>-0.22720209469308711</c:v>
                </c:pt>
                <c:pt idx="18">
                  <c:v>-0.32328956686350357</c:v>
                </c:pt>
                <c:pt idx="19">
                  <c:v>-0.41614683654714241</c:v>
                </c:pt>
                <c:pt idx="20">
                  <c:v>-0.50484610459985757</c:v>
                </c:pt>
                <c:pt idx="21">
                  <c:v>-0.58850111725534582</c:v>
                </c:pt>
                <c:pt idx="22">
                  <c:v>-0.66627602127982444</c:v>
                </c:pt>
                <c:pt idx="23">
                  <c:v>-0.73739371554124578</c:v>
                </c:pt>
                <c:pt idx="24">
                  <c:v>-0.8011436155469337</c:v>
                </c:pt>
                <c:pt idx="25">
                  <c:v>-0.85688875336894732</c:v>
                </c:pt>
                <c:pt idx="26">
                  <c:v>-0.90407214201706121</c:v>
                </c:pt>
                <c:pt idx="27">
                  <c:v>-0.94222234066865829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AC-4730-863D-2469866E4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63343"/>
        <c:axId val="200719935"/>
      </c:scatterChart>
      <c:valAx>
        <c:axId val="20816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9935"/>
        <c:crosses val="autoZero"/>
        <c:crossBetween val="midCat"/>
      </c:valAx>
      <c:valAx>
        <c:axId val="2007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8</xdr:row>
      <xdr:rowOff>47625</xdr:rowOff>
    </xdr:from>
    <xdr:to>
      <xdr:col>12</xdr:col>
      <xdr:colOff>180975</xdr:colOff>
      <xdr:row>22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3" sqref="J3"/>
    </sheetView>
  </sheetViews>
  <sheetFormatPr defaultRowHeight="15" x14ac:dyDescent="0.25"/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s="1" t="s">
        <v>4</v>
      </c>
      <c r="F1" s="2">
        <v>0.1</v>
      </c>
      <c r="G1" s="1" t="s">
        <v>5</v>
      </c>
      <c r="H1" s="2">
        <f>COUNT(A:A)</f>
        <v>28</v>
      </c>
    </row>
    <row r="2" spans="1:8" x14ac:dyDescent="0.25">
      <c r="A2">
        <v>1</v>
      </c>
      <c r="B2">
        <f>A2*_DELT</f>
        <v>0.1</v>
      </c>
      <c r="C2">
        <f>SIN(B2)</f>
        <v>9.9833416646828155E-2</v>
      </c>
      <c r="D2">
        <f>COS(B2)</f>
        <v>0.99500416527802582</v>
      </c>
    </row>
    <row r="3" spans="1:8" x14ac:dyDescent="0.25">
      <c r="A3">
        <f>A2+1</f>
        <v>2</v>
      </c>
      <c r="B3">
        <f>A3*_DELT</f>
        <v>0.2</v>
      </c>
      <c r="C3">
        <f t="shared" ref="C3:C29" si="0">SIN(B3)</f>
        <v>0.19866933079506122</v>
      </c>
      <c r="D3">
        <f t="shared" ref="D3:D29" si="1">COS(B3)</f>
        <v>0.98006657784124163</v>
      </c>
    </row>
    <row r="4" spans="1:8" x14ac:dyDescent="0.25">
      <c r="A4">
        <f t="shared" ref="A4:A29" si="2">A3+1</f>
        <v>3</v>
      </c>
      <c r="B4">
        <f>A4*_DELT</f>
        <v>0.30000000000000004</v>
      </c>
      <c r="C4">
        <f t="shared" si="0"/>
        <v>0.2955202066613396</v>
      </c>
      <c r="D4">
        <f t="shared" si="1"/>
        <v>0.95533648912560598</v>
      </c>
    </row>
    <row r="5" spans="1:8" x14ac:dyDescent="0.25">
      <c r="A5">
        <f t="shared" si="2"/>
        <v>4</v>
      </c>
      <c r="B5">
        <f>A5*_DELT</f>
        <v>0.4</v>
      </c>
      <c r="C5">
        <f t="shared" si="0"/>
        <v>0.38941834230865052</v>
      </c>
      <c r="D5">
        <f t="shared" si="1"/>
        <v>0.9210609940028851</v>
      </c>
    </row>
    <row r="6" spans="1:8" x14ac:dyDescent="0.25">
      <c r="A6">
        <f t="shared" si="2"/>
        <v>5</v>
      </c>
      <c r="B6">
        <f>A6*_DELT</f>
        <v>0.5</v>
      </c>
      <c r="C6">
        <f t="shared" si="0"/>
        <v>0.47942553860420301</v>
      </c>
      <c r="D6">
        <f t="shared" si="1"/>
        <v>0.87758256189037276</v>
      </c>
    </row>
    <row r="7" spans="1:8" x14ac:dyDescent="0.25">
      <c r="A7">
        <f t="shared" si="2"/>
        <v>6</v>
      </c>
      <c r="B7">
        <f>A7*_DELT</f>
        <v>0.60000000000000009</v>
      </c>
      <c r="C7">
        <f t="shared" si="0"/>
        <v>0.56464247339503548</v>
      </c>
      <c r="D7">
        <f t="shared" si="1"/>
        <v>0.82533561490967822</v>
      </c>
    </row>
    <row r="8" spans="1:8" x14ac:dyDescent="0.25">
      <c r="A8">
        <f t="shared" si="2"/>
        <v>7</v>
      </c>
      <c r="B8">
        <f>A8*_DELT</f>
        <v>0.70000000000000007</v>
      </c>
      <c r="C8">
        <f t="shared" si="0"/>
        <v>0.64421768723769113</v>
      </c>
      <c r="D8">
        <f t="shared" si="1"/>
        <v>0.76484218728448838</v>
      </c>
    </row>
    <row r="9" spans="1:8" x14ac:dyDescent="0.25">
      <c r="A9">
        <f t="shared" si="2"/>
        <v>8</v>
      </c>
      <c r="B9">
        <f>A9*_DELT</f>
        <v>0.8</v>
      </c>
      <c r="C9">
        <f t="shared" si="0"/>
        <v>0.71735609089952279</v>
      </c>
      <c r="D9">
        <f t="shared" si="1"/>
        <v>0.69670670934716539</v>
      </c>
    </row>
    <row r="10" spans="1:8" x14ac:dyDescent="0.25">
      <c r="A10">
        <f t="shared" si="2"/>
        <v>9</v>
      </c>
      <c r="B10">
        <f>A10*_DELT</f>
        <v>0.9</v>
      </c>
      <c r="C10">
        <f t="shared" si="0"/>
        <v>0.78332690962748341</v>
      </c>
      <c r="D10">
        <f t="shared" si="1"/>
        <v>0.62160996827066439</v>
      </c>
    </row>
    <row r="11" spans="1:8" x14ac:dyDescent="0.25">
      <c r="A11">
        <f t="shared" si="2"/>
        <v>10</v>
      </c>
      <c r="B11">
        <f>A11*_DELT</f>
        <v>1</v>
      </c>
      <c r="C11">
        <f t="shared" si="0"/>
        <v>0.8414709848078965</v>
      </c>
      <c r="D11">
        <f t="shared" si="1"/>
        <v>0.54030230586813977</v>
      </c>
    </row>
    <row r="12" spans="1:8" x14ac:dyDescent="0.25">
      <c r="A12">
        <f t="shared" si="2"/>
        <v>11</v>
      </c>
      <c r="B12">
        <f>A12*_DELT</f>
        <v>1.1000000000000001</v>
      </c>
      <c r="C12">
        <f t="shared" si="0"/>
        <v>0.89120736006143542</v>
      </c>
      <c r="D12">
        <f t="shared" si="1"/>
        <v>0.45359612142557731</v>
      </c>
    </row>
    <row r="13" spans="1:8" x14ac:dyDescent="0.25">
      <c r="A13">
        <f t="shared" si="2"/>
        <v>12</v>
      </c>
      <c r="B13">
        <f>A13*_DELT</f>
        <v>1.2000000000000002</v>
      </c>
      <c r="C13">
        <f t="shared" si="0"/>
        <v>0.9320390859672264</v>
      </c>
      <c r="D13">
        <f t="shared" si="1"/>
        <v>0.3623577544766734</v>
      </c>
    </row>
    <row r="14" spans="1:8" x14ac:dyDescent="0.25">
      <c r="A14">
        <f t="shared" si="2"/>
        <v>13</v>
      </c>
      <c r="B14">
        <f>A14*_DELT</f>
        <v>1.3</v>
      </c>
      <c r="C14">
        <f t="shared" si="0"/>
        <v>0.96355818541719296</v>
      </c>
      <c r="D14">
        <f t="shared" si="1"/>
        <v>0.26749882862458735</v>
      </c>
    </row>
    <row r="15" spans="1:8" x14ac:dyDescent="0.25">
      <c r="A15">
        <f t="shared" si="2"/>
        <v>14</v>
      </c>
      <c r="B15">
        <f>A15*_DELT</f>
        <v>1.4000000000000001</v>
      </c>
      <c r="C15">
        <f t="shared" si="0"/>
        <v>0.98544972998846025</v>
      </c>
      <c r="D15">
        <f t="shared" si="1"/>
        <v>0.16996714290024081</v>
      </c>
    </row>
    <row r="16" spans="1:8" x14ac:dyDescent="0.25">
      <c r="A16">
        <f t="shared" si="2"/>
        <v>15</v>
      </c>
      <c r="B16">
        <f>A16*_DELT</f>
        <v>1.5</v>
      </c>
      <c r="C16">
        <f t="shared" si="0"/>
        <v>0.99749498660405445</v>
      </c>
      <c r="D16">
        <f t="shared" si="1"/>
        <v>7.0737201667702906E-2</v>
      </c>
    </row>
    <row r="17" spans="1:4" x14ac:dyDescent="0.25">
      <c r="A17">
        <f t="shared" si="2"/>
        <v>16</v>
      </c>
      <c r="B17">
        <f>A17*_DELT</f>
        <v>1.6</v>
      </c>
      <c r="C17">
        <f t="shared" si="0"/>
        <v>0.99957360304150511</v>
      </c>
      <c r="D17">
        <f t="shared" si="1"/>
        <v>-2.9199522301288815E-2</v>
      </c>
    </row>
    <row r="18" spans="1:4" x14ac:dyDescent="0.25">
      <c r="A18">
        <f t="shared" si="2"/>
        <v>17</v>
      </c>
      <c r="B18">
        <f>A18*_DELT</f>
        <v>1.7000000000000002</v>
      </c>
      <c r="C18">
        <f t="shared" si="0"/>
        <v>0.99166481045246857</v>
      </c>
      <c r="D18">
        <f t="shared" si="1"/>
        <v>-0.12884449429552486</v>
      </c>
    </row>
    <row r="19" spans="1:4" x14ac:dyDescent="0.25">
      <c r="A19">
        <f t="shared" si="2"/>
        <v>18</v>
      </c>
      <c r="B19">
        <f>A19*_DELT</f>
        <v>1.8</v>
      </c>
      <c r="C19">
        <f t="shared" si="0"/>
        <v>0.97384763087819515</v>
      </c>
      <c r="D19">
        <f t="shared" si="1"/>
        <v>-0.22720209469308711</v>
      </c>
    </row>
    <row r="20" spans="1:4" x14ac:dyDescent="0.25">
      <c r="A20">
        <f t="shared" si="2"/>
        <v>19</v>
      </c>
      <c r="B20">
        <f>A20*_DELT</f>
        <v>1.9000000000000001</v>
      </c>
      <c r="C20">
        <f t="shared" si="0"/>
        <v>0.94630008768741447</v>
      </c>
      <c r="D20">
        <f t="shared" si="1"/>
        <v>-0.32328956686350357</v>
      </c>
    </row>
    <row r="21" spans="1:4" x14ac:dyDescent="0.25">
      <c r="A21">
        <f t="shared" si="2"/>
        <v>20</v>
      </c>
      <c r="B21">
        <f>A21*_DELT</f>
        <v>2</v>
      </c>
      <c r="C21">
        <f t="shared" si="0"/>
        <v>0.90929742682568171</v>
      </c>
      <c r="D21">
        <f t="shared" si="1"/>
        <v>-0.41614683654714241</v>
      </c>
    </row>
    <row r="22" spans="1:4" x14ac:dyDescent="0.25">
      <c r="A22">
        <f t="shared" si="2"/>
        <v>21</v>
      </c>
      <c r="B22">
        <f>A22*_DELT</f>
        <v>2.1</v>
      </c>
      <c r="C22">
        <f t="shared" si="0"/>
        <v>0.86320936664887371</v>
      </c>
      <c r="D22">
        <f t="shared" si="1"/>
        <v>-0.50484610459985757</v>
      </c>
    </row>
    <row r="23" spans="1:4" x14ac:dyDescent="0.25">
      <c r="A23">
        <f t="shared" si="2"/>
        <v>22</v>
      </c>
      <c r="B23">
        <f>A23*_DELT</f>
        <v>2.2000000000000002</v>
      </c>
      <c r="C23">
        <f t="shared" si="0"/>
        <v>0.80849640381959009</v>
      </c>
      <c r="D23">
        <f t="shared" si="1"/>
        <v>-0.58850111725534582</v>
      </c>
    </row>
    <row r="24" spans="1:4" x14ac:dyDescent="0.25">
      <c r="A24">
        <f t="shared" si="2"/>
        <v>23</v>
      </c>
      <c r="B24">
        <f>A24*_DELT</f>
        <v>2.3000000000000003</v>
      </c>
      <c r="C24">
        <f t="shared" si="0"/>
        <v>0.74570521217672003</v>
      </c>
      <c r="D24">
        <f t="shared" si="1"/>
        <v>-0.66627602127982444</v>
      </c>
    </row>
    <row r="25" spans="1:4" x14ac:dyDescent="0.25">
      <c r="A25">
        <f t="shared" si="2"/>
        <v>24</v>
      </c>
      <c r="B25">
        <f>A25*_DELT</f>
        <v>2.4000000000000004</v>
      </c>
      <c r="C25">
        <f t="shared" si="0"/>
        <v>0.67546318055115062</v>
      </c>
      <c r="D25">
        <f t="shared" si="1"/>
        <v>-0.73739371554124578</v>
      </c>
    </row>
    <row r="26" spans="1:4" x14ac:dyDescent="0.25">
      <c r="A26">
        <f t="shared" si="2"/>
        <v>25</v>
      </c>
      <c r="B26">
        <f>A26*_DELT</f>
        <v>2.5</v>
      </c>
      <c r="C26">
        <f t="shared" si="0"/>
        <v>0.59847214410395655</v>
      </c>
      <c r="D26">
        <f t="shared" si="1"/>
        <v>-0.8011436155469337</v>
      </c>
    </row>
    <row r="27" spans="1:4" x14ac:dyDescent="0.25">
      <c r="A27">
        <f t="shared" si="2"/>
        <v>26</v>
      </c>
      <c r="B27">
        <f>A27*_DELT</f>
        <v>2.6</v>
      </c>
      <c r="C27">
        <f t="shared" si="0"/>
        <v>0.51550137182146416</v>
      </c>
      <c r="D27">
        <f t="shared" si="1"/>
        <v>-0.85688875336894732</v>
      </c>
    </row>
    <row r="28" spans="1:4" x14ac:dyDescent="0.25">
      <c r="A28">
        <f t="shared" si="2"/>
        <v>27</v>
      </c>
      <c r="B28">
        <f>A28*_DELT</f>
        <v>2.7</v>
      </c>
      <c r="C28">
        <f t="shared" si="0"/>
        <v>0.42737988023382978</v>
      </c>
      <c r="D28">
        <f t="shared" si="1"/>
        <v>-0.90407214201706121</v>
      </c>
    </row>
    <row r="29" spans="1:4" x14ac:dyDescent="0.25">
      <c r="A29">
        <f t="shared" si="2"/>
        <v>28</v>
      </c>
      <c r="B29">
        <f>A29*_DELT</f>
        <v>2.8000000000000003</v>
      </c>
      <c r="C29">
        <f t="shared" si="0"/>
        <v>0.33498815015590466</v>
      </c>
      <c r="D29">
        <f t="shared" si="1"/>
        <v>-0.94222234066865829</v>
      </c>
    </row>
  </sheetData>
  <pageMargins left="0.7" right="0.7" top="0.75" bottom="0.75" header="0.3" footer="0.3"/>
  <pageSetup orientation="portrait" r:id="rId1"/>
  <headerFooter>
    <oddFooter>&amp;L&amp;1#&amp;"Calibri"&amp;10&amp;K000000Teledyne Confidential; Commercially Sensitive Business Data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_COUNT</vt:lpstr>
      <vt:lpstr>_DELT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2020-07-02T14:12:28Z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93ac4e-90cb-42b1-9d6c-9196561466de_Enabled">
    <vt:lpwstr>True</vt:lpwstr>
  </property>
  <property fmtid="{D5CDD505-2E9C-101B-9397-08002B2CF9AE}" pid="3" name="MSIP_Label_7993ac4e-90cb-42b1-9d6c-9196561466de_SiteId">
    <vt:lpwstr>e324592a-2653-45c7-9bfc-597c36917127</vt:lpwstr>
  </property>
  <property fmtid="{D5CDD505-2E9C-101B-9397-08002B2CF9AE}" pid="4" name="MSIP_Label_7993ac4e-90cb-42b1-9d6c-9196561466de_Owner">
    <vt:lpwstr>Paul.Leopard@Teledyne.com</vt:lpwstr>
  </property>
  <property fmtid="{D5CDD505-2E9C-101B-9397-08002B2CF9AE}" pid="5" name="MSIP_Label_7993ac4e-90cb-42b1-9d6c-9196561466de_SetDate">
    <vt:lpwstr>2020-07-02T14:11:29.7740274Z</vt:lpwstr>
  </property>
  <property fmtid="{D5CDD505-2E9C-101B-9397-08002B2CF9AE}" pid="6" name="MSIP_Label_7993ac4e-90cb-42b1-9d6c-9196561466de_Name">
    <vt:lpwstr>Company Sensitive</vt:lpwstr>
  </property>
  <property fmtid="{D5CDD505-2E9C-101B-9397-08002B2CF9AE}" pid="7" name="MSIP_Label_7993ac4e-90cb-42b1-9d6c-9196561466de_Application">
    <vt:lpwstr>Microsoft Azure Information Protection</vt:lpwstr>
  </property>
  <property fmtid="{D5CDD505-2E9C-101B-9397-08002B2CF9AE}" pid="8" name="MSIP_Label_7993ac4e-90cb-42b1-9d6c-9196561466de_ActionId">
    <vt:lpwstr>26a1fe39-9352-44a6-a5d9-21d6314a0af8</vt:lpwstr>
  </property>
  <property fmtid="{D5CDD505-2E9C-101B-9397-08002B2CF9AE}" pid="9" name="MSIP_Label_7993ac4e-90cb-42b1-9d6c-9196561466de_Extended_MSFT_Method">
    <vt:lpwstr>Automatic</vt:lpwstr>
  </property>
  <property fmtid="{D5CDD505-2E9C-101B-9397-08002B2CF9AE}" pid="10" name="MSIP_Label_0d178f3f-9d62-4d87-b8af-200399509a39_Enabled">
    <vt:lpwstr>True</vt:lpwstr>
  </property>
  <property fmtid="{D5CDD505-2E9C-101B-9397-08002B2CF9AE}" pid="11" name="MSIP_Label_0d178f3f-9d62-4d87-b8af-200399509a39_SiteId">
    <vt:lpwstr>e324592a-2653-45c7-9bfc-597c36917127</vt:lpwstr>
  </property>
  <property fmtid="{D5CDD505-2E9C-101B-9397-08002B2CF9AE}" pid="12" name="MSIP_Label_0d178f3f-9d62-4d87-b8af-200399509a39_Owner">
    <vt:lpwstr>Paul.Leopard@Teledyne.com</vt:lpwstr>
  </property>
  <property fmtid="{D5CDD505-2E9C-101B-9397-08002B2CF9AE}" pid="13" name="MSIP_Label_0d178f3f-9d62-4d87-b8af-200399509a39_SetDate">
    <vt:lpwstr>2020-07-02T14:11:29.7740274Z</vt:lpwstr>
  </property>
  <property fmtid="{D5CDD505-2E9C-101B-9397-08002B2CF9AE}" pid="14" name="MSIP_Label_0d178f3f-9d62-4d87-b8af-200399509a39_Name">
    <vt:lpwstr>Company Sensitive</vt:lpwstr>
  </property>
  <property fmtid="{D5CDD505-2E9C-101B-9397-08002B2CF9AE}" pid="15" name="MSIP_Label_0d178f3f-9d62-4d87-b8af-200399509a39_Application">
    <vt:lpwstr>Microsoft Azure Information Protection</vt:lpwstr>
  </property>
  <property fmtid="{D5CDD505-2E9C-101B-9397-08002B2CF9AE}" pid="16" name="MSIP_Label_0d178f3f-9d62-4d87-b8af-200399509a39_ActionId">
    <vt:lpwstr>26a1fe39-9352-44a6-a5d9-21d6314a0af8</vt:lpwstr>
  </property>
  <property fmtid="{D5CDD505-2E9C-101B-9397-08002B2CF9AE}" pid="17" name="MSIP_Label_0d178f3f-9d62-4d87-b8af-200399509a39_Parent">
    <vt:lpwstr>7993ac4e-90cb-42b1-9d6c-9196561466de</vt:lpwstr>
  </property>
  <property fmtid="{D5CDD505-2E9C-101B-9397-08002B2CF9AE}" pid="18" name="MSIP_Label_0d178f3f-9d62-4d87-b8af-200399509a39_Extended_MSFT_Method">
    <vt:lpwstr>Automatic</vt:lpwstr>
  </property>
  <property fmtid="{D5CDD505-2E9C-101B-9397-08002B2CF9AE}" pid="19" name="Sensitivity">
    <vt:lpwstr>Company Sensitive Company Sensitive</vt:lpwstr>
  </property>
</Properties>
</file>